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ro to enterprise week 4\"/>
    </mc:Choice>
  </mc:AlternateContent>
  <xr:revisionPtr revIDLastSave="0" documentId="8_{9EF7E2A7-3282-4D9B-AF7F-3D911FF32F7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del" sheetId="1" r:id="rId1"/>
    <sheet name="Data Table" sheetId="2" r:id="rId2"/>
    <sheet name="Sensitivity" sheetId="3" r:id="rId3"/>
  </sheets>
  <definedNames>
    <definedName name="solver_adj" localSheetId="0" hidden="1">Model!$B$12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Model!$B$17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18" i="1"/>
  <c r="B15" i="1"/>
  <c r="B8" i="1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C30" i="2" l="1"/>
  <c r="D28" i="2"/>
  <c r="D27" i="2"/>
  <c r="C25" i="2"/>
  <c r="D24" i="2"/>
  <c r="C23" i="2"/>
  <c r="D20" i="2"/>
  <c r="C18" i="2"/>
  <c r="D12" i="2"/>
  <c r="C10" i="2"/>
  <c r="C9" i="2"/>
  <c r="C8" i="2"/>
  <c r="B22" i="1"/>
  <c r="C32" i="2"/>
  <c r="C24" i="2"/>
  <c r="C17" i="2"/>
  <c r="C16" i="2"/>
  <c r="C15" i="2"/>
  <c r="D14" i="2"/>
  <c r="C14" i="2"/>
  <c r="C13" i="2"/>
  <c r="C12" i="2"/>
  <c r="C11" i="2"/>
  <c r="D8" i="2"/>
  <c r="D32" i="2"/>
  <c r="C31" i="2"/>
  <c r="C29" i="2"/>
  <c r="C28" i="2"/>
  <c r="C27" i="2"/>
  <c r="C26" i="2"/>
  <c r="C22" i="2"/>
  <c r="C21" i="2"/>
  <c r="C20" i="2"/>
  <c r="C19" i="2"/>
  <c r="D16" i="2"/>
  <c r="D15" i="2"/>
  <c r="D13" i="2"/>
  <c r="D11" i="2"/>
  <c r="C7" i="2"/>
  <c r="C6" i="2"/>
  <c r="C5" i="2"/>
  <c r="C4" i="2"/>
  <c r="B23" i="1"/>
  <c r="B16" i="1"/>
  <c r="D7" i="2" l="1"/>
  <c r="D5" i="2"/>
  <c r="B17" i="1"/>
  <c r="D26" i="2"/>
  <c r="D21" i="2"/>
  <c r="D19" i="2"/>
  <c r="D17" i="2"/>
  <c r="D6" i="2"/>
  <c r="D4" i="2"/>
  <c r="D31" i="2"/>
  <c r="D29" i="2"/>
  <c r="D25" i="2"/>
  <c r="D22" i="2"/>
  <c r="D18" i="2"/>
  <c r="D9" i="2"/>
  <c r="D23" i="2"/>
  <c r="D10" i="2"/>
  <c r="D30" i="2"/>
  <c r="D34" i="2" l="1"/>
  <c r="D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000-000001000000}">
      <text>
        <r>
          <rPr>
            <sz val="10"/>
            <rFont val="Arial"/>
            <family val="2"/>
          </rPr>
          <t>SOLVER CHANGING CELL.
Data &gt; Solver: Set Objective = B16 (Total Cost), To: Min, By Changing Variable Cells = B12. It converges to the EOQ in B19.</t>
        </r>
      </text>
    </comment>
  </commentList>
</comments>
</file>

<file path=xl/sharedStrings.xml><?xml version="1.0" encoding="utf-8"?>
<sst xmlns="http://schemas.openxmlformats.org/spreadsheetml/2006/main" count="40" uniqueCount="39">
  <si>
    <t>Inventory Management Decision Model (EOQ) - Part I</t>
  </si>
  <si>
    <t>Data, Uncontrollable Inputs &amp; Model Parameters</t>
  </si>
  <si>
    <t>Annual Demand  (D, units)</t>
  </si>
  <si>
    <t>units/yr</t>
  </si>
  <si>
    <t>Unit Cost  (C, $/unit)</t>
  </si>
  <si>
    <t>$/unit</t>
  </si>
  <si>
    <t>Holding Cost Rate  (i)</t>
  </si>
  <si>
    <t>of unit value</t>
  </si>
  <si>
    <t>Ordering Cost  (S, $/order)</t>
  </si>
  <si>
    <t>$/order</t>
  </si>
  <si>
    <t>Holding Cost per Unit  (H = i x C)</t>
  </si>
  <si>
    <t>$/unit/yr</t>
  </si>
  <si>
    <t>Decision Variable</t>
  </si>
  <si>
    <t>Order Quantity  (Q, units)</t>
  </si>
  <si>
    <t>Model Outputs (Mathematical Functions)</t>
  </si>
  <si>
    <t>Annual Ordering Cost  = (D / Q) x S</t>
  </si>
  <si>
    <t>Annual Holding Cost  = (Q / 2) x H</t>
  </si>
  <si>
    <t>TOTAL ANNUAL COST  (objective)</t>
  </si>
  <si>
    <t>Annual Number of Orders  = D / Q</t>
  </si>
  <si>
    <t>Closed-form Reference (for verification)</t>
  </si>
  <si>
    <t>EOQ  = SQRT(2 x D x S / H)</t>
  </si>
  <si>
    <t>Total Cost at EOQ = SQRT(2 x D x S x H)</t>
  </si>
  <si>
    <t>Solver instructions:</t>
  </si>
  <si>
    <t>1. Open Data tab &gt; Solver (enable via File &gt; Options &gt; Add-ins if needed).</t>
  </si>
  <si>
    <t>2. Set Objective: $B$17   |   To: Min   |   By Changing Variable Cells: $B$12</t>
  </si>
  <si>
    <t>3. Solving Method: GRG Nonlinear. Add constraint $B$12 &gt;= 1 if desired.</t>
  </si>
  <si>
    <t>4. Solve. The optimal Q matches the EOQ in B22 (~677) and Total Cost in B23.</t>
  </si>
  <si>
    <t>Part I (4): Data Table - Total Cost vs Order Quantity</t>
  </si>
  <si>
    <t>Order Quantity (Q)</t>
  </si>
  <si>
    <t>Ordering Cost</t>
  </si>
  <si>
    <t>Holding Cost</t>
  </si>
  <si>
    <t>Total Cost</t>
  </si>
  <si>
    <t>Minimum Total Cost =</t>
  </si>
  <si>
    <t>Approx. Optimal Q (smallest cost) =</t>
  </si>
  <si>
    <t>Part I (7): Two-Way What-If Analysis</t>
  </si>
  <si>
    <t>Sensitivity of the MINIMUM total cost to Ordering Cost (S) and Holding Rate (i).</t>
  </si>
  <si>
    <t>Minimum Total Cost ($)</t>
  </si>
  <si>
    <t>S \ i</t>
  </si>
  <si>
    <t>Optimal Order Quantity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</si>
</sst>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0&quot; units&quot;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0" xfId="0" applyFont="1" applyFill="1"/>
    <xf numFmtId="3" fontId="4" fillId="3" borderId="0" xfId="0" applyNumberFormat="1" applyFont="1" applyFill="1"/>
    <xf numFmtId="0" fontId="5" fillId="0" borderId="0" xfId="0" applyFont="1"/>
    <xf numFmtId="164" fontId="4" fillId="3" borderId="0" xfId="0" applyNumberFormat="1" applyFont="1" applyFill="1"/>
    <xf numFmtId="165" fontId="4" fillId="3" borderId="0" xfId="0" applyNumberFormat="1" applyFont="1" applyFill="1"/>
    <xf numFmtId="166" fontId="0" fillId="0" borderId="0" xfId="0" applyNumberFormat="1"/>
    <xf numFmtId="4" fontId="4" fillId="3" borderId="0" xfId="0" applyNumberFormat="1" applyFont="1" applyFill="1"/>
    <xf numFmtId="0" fontId="3" fillId="0" borderId="0" xfId="0" applyFont="1"/>
    <xf numFmtId="166" fontId="3" fillId="4" borderId="0" xfId="0" applyNumberFormat="1" applyFont="1" applyFill="1"/>
    <xf numFmtId="2" fontId="0" fillId="0" borderId="0" xfId="0" applyNumberFormat="1"/>
    <xf numFmtId="4" fontId="0" fillId="0" borderId="0" xfId="0" applyNumberFormat="1"/>
    <xf numFmtId="0" fontId="6" fillId="0" borderId="0" xfId="0" applyFont="1"/>
    <xf numFmtId="0" fontId="7" fillId="5" borderId="1" xfId="0" applyFont="1" applyFill="1" applyBorder="1" applyAlignment="1">
      <alignment horizontal="center"/>
    </xf>
    <xf numFmtId="0" fontId="8" fillId="0" borderId="0" xfId="0" applyFont="1"/>
    <xf numFmtId="167" fontId="0" fillId="0" borderId="0" xfId="0" applyNumberFormat="1"/>
    <xf numFmtId="166" fontId="3" fillId="0" borderId="0" xfId="0" applyNumberFormat="1" applyFont="1"/>
    <xf numFmtId="164" fontId="0" fillId="0" borderId="1" xfId="0" applyNumberFormat="1" applyBorder="1"/>
    <xf numFmtId="3" fontId="0" fillId="0" borderId="1" xfId="0" applyNumberFormat="1" applyBorder="1"/>
    <xf numFmtId="0" fontId="9" fillId="6" borderId="1" xfId="0" applyFont="1" applyFill="1" applyBorder="1" applyAlignment="1">
      <alignment horizontal="center"/>
    </xf>
    <xf numFmtId="164" fontId="10" fillId="7" borderId="1" xfId="0" applyNumberFormat="1" applyFont="1" applyFill="1" applyBorder="1" applyAlignment="1">
      <alignment horizontal="center"/>
    </xf>
    <xf numFmtId="9" fontId="10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Cost vs Order Quantity (EOQ Trade-off)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Table'!$B$3</c:f>
              <c:strCache>
                <c:ptCount val="1"/>
                <c:pt idx="0">
                  <c:v>Ordering Cost</c:v>
                </c:pt>
              </c:strCache>
            </c:strRef>
          </c:tx>
          <c:spPr>
            <a:ln w="19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'Data Table'!$A$4:$A$32</c:f>
              <c:numCache>
                <c:formatCode>General</c:formatCode>
                <c:ptCount val="2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</c:numCache>
            </c:numRef>
          </c:cat>
          <c:val>
            <c:numRef>
              <c:f>'Data Table'!$B$4:$B$32</c:f>
              <c:numCache>
                <c:formatCode>\$#,##0.00</c:formatCode>
                <c:ptCount val="29"/>
                <c:pt idx="0">
                  <c:v>33000</c:v>
                </c:pt>
                <c:pt idx="1">
                  <c:v>22000</c:v>
                </c:pt>
                <c:pt idx="2">
                  <c:v>16500</c:v>
                </c:pt>
                <c:pt idx="3">
                  <c:v>13200</c:v>
                </c:pt>
                <c:pt idx="4">
                  <c:v>11000</c:v>
                </c:pt>
                <c:pt idx="5">
                  <c:v>9428.5714285714275</c:v>
                </c:pt>
                <c:pt idx="6">
                  <c:v>8250</c:v>
                </c:pt>
                <c:pt idx="7">
                  <c:v>7333.3333333333339</c:v>
                </c:pt>
                <c:pt idx="8">
                  <c:v>6600</c:v>
                </c:pt>
                <c:pt idx="9">
                  <c:v>6000</c:v>
                </c:pt>
                <c:pt idx="10">
                  <c:v>5500</c:v>
                </c:pt>
                <c:pt idx="11">
                  <c:v>5076.9230769230771</c:v>
                </c:pt>
                <c:pt idx="12">
                  <c:v>4714.2857142857138</c:v>
                </c:pt>
                <c:pt idx="13">
                  <c:v>4400</c:v>
                </c:pt>
                <c:pt idx="14">
                  <c:v>4125</c:v>
                </c:pt>
                <c:pt idx="15">
                  <c:v>3882.3529411764707</c:v>
                </c:pt>
                <c:pt idx="16">
                  <c:v>3666.666666666667</c:v>
                </c:pt>
                <c:pt idx="17">
                  <c:v>3473.6842105263158</c:v>
                </c:pt>
                <c:pt idx="18">
                  <c:v>3300</c:v>
                </c:pt>
                <c:pt idx="19">
                  <c:v>3142.8571428571431</c:v>
                </c:pt>
                <c:pt idx="20">
                  <c:v>3000</c:v>
                </c:pt>
                <c:pt idx="21">
                  <c:v>2869.565217391304</c:v>
                </c:pt>
                <c:pt idx="22">
                  <c:v>2750</c:v>
                </c:pt>
                <c:pt idx="23">
                  <c:v>2640</c:v>
                </c:pt>
                <c:pt idx="24">
                  <c:v>2538.4615384615386</c:v>
                </c:pt>
                <c:pt idx="25">
                  <c:v>2444.4444444444443</c:v>
                </c:pt>
                <c:pt idx="26">
                  <c:v>2357.1428571428569</c:v>
                </c:pt>
                <c:pt idx="27">
                  <c:v>2275.8620689655172</c:v>
                </c:pt>
                <c:pt idx="28">
                  <c:v>2200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0E-493C-9E88-C146B553D7D8}"/>
            </c:ext>
          </c:extLst>
        </c:ser>
        <c:ser>
          <c:idx val="1"/>
          <c:order val="1"/>
          <c:tx>
            <c:strRef>
              <c:f>'Data Table'!$C$3</c:f>
              <c:strCache>
                <c:ptCount val="1"/>
                <c:pt idx="0">
                  <c:v>Holding Cost</c:v>
                </c:pt>
              </c:strCache>
            </c:strRef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'Data Table'!$A$4:$A$32</c:f>
              <c:numCache>
                <c:formatCode>General</c:formatCode>
                <c:ptCount val="2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</c:numCache>
            </c:numRef>
          </c:cat>
          <c:val>
            <c:numRef>
              <c:f>'Data Table'!$C$4:$C$32</c:f>
              <c:numCache>
                <c:formatCode>\$#,##0.00</c:formatCode>
                <c:ptCount val="29"/>
                <c:pt idx="0">
                  <c:v>719.99999999999989</c:v>
                </c:pt>
                <c:pt idx="1">
                  <c:v>1080</c:v>
                </c:pt>
                <c:pt idx="2">
                  <c:v>1439.9999999999998</c:v>
                </c:pt>
                <c:pt idx="3">
                  <c:v>1799.9999999999998</c:v>
                </c:pt>
                <c:pt idx="4">
                  <c:v>2160</c:v>
                </c:pt>
                <c:pt idx="5">
                  <c:v>2519.9999999999995</c:v>
                </c:pt>
                <c:pt idx="6">
                  <c:v>2879.9999999999995</c:v>
                </c:pt>
                <c:pt idx="7">
                  <c:v>3239.9999999999995</c:v>
                </c:pt>
                <c:pt idx="8">
                  <c:v>3599.9999999999995</c:v>
                </c:pt>
                <c:pt idx="9">
                  <c:v>3959.9999999999995</c:v>
                </c:pt>
                <c:pt idx="10">
                  <c:v>4320</c:v>
                </c:pt>
                <c:pt idx="11">
                  <c:v>4679.9999999999991</c:v>
                </c:pt>
                <c:pt idx="12">
                  <c:v>5039.9999999999991</c:v>
                </c:pt>
                <c:pt idx="13">
                  <c:v>5399.9999999999991</c:v>
                </c:pt>
                <c:pt idx="14">
                  <c:v>5759.9999999999991</c:v>
                </c:pt>
                <c:pt idx="15">
                  <c:v>6119.9999999999991</c:v>
                </c:pt>
                <c:pt idx="16">
                  <c:v>6479.9999999999991</c:v>
                </c:pt>
                <c:pt idx="17">
                  <c:v>6839.9999999999991</c:v>
                </c:pt>
                <c:pt idx="18">
                  <c:v>7199.9999999999991</c:v>
                </c:pt>
                <c:pt idx="19">
                  <c:v>7559.9999999999991</c:v>
                </c:pt>
                <c:pt idx="20">
                  <c:v>7919.9999999999991</c:v>
                </c:pt>
                <c:pt idx="21">
                  <c:v>8280</c:v>
                </c:pt>
                <c:pt idx="22">
                  <c:v>8640</c:v>
                </c:pt>
                <c:pt idx="23">
                  <c:v>9000</c:v>
                </c:pt>
                <c:pt idx="24">
                  <c:v>9359.9999999999982</c:v>
                </c:pt>
                <c:pt idx="25">
                  <c:v>9719.9999999999982</c:v>
                </c:pt>
                <c:pt idx="26">
                  <c:v>10079.999999999998</c:v>
                </c:pt>
                <c:pt idx="27">
                  <c:v>10439.999999999998</c:v>
                </c:pt>
                <c:pt idx="28">
                  <c:v>10799.999999999998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0E-493C-9E88-C146B553D7D8}"/>
            </c:ext>
          </c:extLst>
        </c:ser>
        <c:ser>
          <c:idx val="2"/>
          <c:order val="2"/>
          <c:tx>
            <c:strRef>
              <c:f>'Data Table'!$D$3</c:f>
              <c:strCache>
                <c:ptCount val="1"/>
                <c:pt idx="0">
                  <c:v>Total Cost</c:v>
                </c:pt>
              </c:strCache>
            </c:strRef>
          </c:tx>
          <c:spPr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'Data Table'!$A$4:$A$32</c:f>
              <c:numCache>
                <c:formatCode>General</c:formatCode>
                <c:ptCount val="29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  <c:pt idx="15">
                  <c:v>850</c:v>
                </c:pt>
                <c:pt idx="16">
                  <c:v>900</c:v>
                </c:pt>
                <c:pt idx="17">
                  <c:v>950</c:v>
                </c:pt>
                <c:pt idx="18">
                  <c:v>1000</c:v>
                </c:pt>
                <c:pt idx="19">
                  <c:v>1050</c:v>
                </c:pt>
                <c:pt idx="20">
                  <c:v>1100</c:v>
                </c:pt>
                <c:pt idx="21">
                  <c:v>1150</c:v>
                </c:pt>
                <c:pt idx="22">
                  <c:v>1200</c:v>
                </c:pt>
                <c:pt idx="23">
                  <c:v>1250</c:v>
                </c:pt>
                <c:pt idx="24">
                  <c:v>1300</c:v>
                </c:pt>
                <c:pt idx="25">
                  <c:v>1350</c:v>
                </c:pt>
                <c:pt idx="26">
                  <c:v>1400</c:v>
                </c:pt>
                <c:pt idx="27">
                  <c:v>1450</c:v>
                </c:pt>
                <c:pt idx="28">
                  <c:v>1500</c:v>
                </c:pt>
              </c:numCache>
            </c:numRef>
          </c:cat>
          <c:val>
            <c:numRef>
              <c:f>'Data Table'!$D$4:$D$32</c:f>
              <c:numCache>
                <c:formatCode>\$#,##0.00</c:formatCode>
                <c:ptCount val="29"/>
                <c:pt idx="0">
                  <c:v>33720</c:v>
                </c:pt>
                <c:pt idx="1">
                  <c:v>23080</c:v>
                </c:pt>
                <c:pt idx="2">
                  <c:v>17940</c:v>
                </c:pt>
                <c:pt idx="3">
                  <c:v>15000</c:v>
                </c:pt>
                <c:pt idx="4">
                  <c:v>13160</c:v>
                </c:pt>
                <c:pt idx="5">
                  <c:v>11948.571428571428</c:v>
                </c:pt>
                <c:pt idx="6">
                  <c:v>11130</c:v>
                </c:pt>
                <c:pt idx="7">
                  <c:v>10573.333333333334</c:v>
                </c:pt>
                <c:pt idx="8">
                  <c:v>10200</c:v>
                </c:pt>
                <c:pt idx="9">
                  <c:v>9960</c:v>
                </c:pt>
                <c:pt idx="10">
                  <c:v>9820</c:v>
                </c:pt>
                <c:pt idx="11">
                  <c:v>9756.9230769230762</c:v>
                </c:pt>
                <c:pt idx="12">
                  <c:v>9754.2857142857138</c:v>
                </c:pt>
                <c:pt idx="13">
                  <c:v>9800</c:v>
                </c:pt>
                <c:pt idx="14">
                  <c:v>9885</c:v>
                </c:pt>
                <c:pt idx="15">
                  <c:v>10002.35294117647</c:v>
                </c:pt>
                <c:pt idx="16">
                  <c:v>10146.666666666666</c:v>
                </c:pt>
                <c:pt idx="17">
                  <c:v>10313.684210526315</c:v>
                </c:pt>
                <c:pt idx="18">
                  <c:v>10500</c:v>
                </c:pt>
                <c:pt idx="19">
                  <c:v>10702.857142857141</c:v>
                </c:pt>
                <c:pt idx="20">
                  <c:v>10920</c:v>
                </c:pt>
                <c:pt idx="21">
                  <c:v>11149.565217391304</c:v>
                </c:pt>
                <c:pt idx="22">
                  <c:v>11390</c:v>
                </c:pt>
                <c:pt idx="23">
                  <c:v>11640</c:v>
                </c:pt>
                <c:pt idx="24">
                  <c:v>11898.461538461537</c:v>
                </c:pt>
                <c:pt idx="25">
                  <c:v>12164.444444444442</c:v>
                </c:pt>
                <c:pt idx="26">
                  <c:v>12437.142857142855</c:v>
                </c:pt>
                <c:pt idx="27">
                  <c:v>12715.862068965514</c:v>
                </c:pt>
                <c:pt idx="28">
                  <c:v>12999.999999999998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0E-493C-9E88-C146B553D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905544"/>
        <c:axId val="79325793"/>
      </c:lineChart>
      <c:catAx>
        <c:axId val="98905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Order Quantity (Q)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25793"/>
        <c:crosses val="autoZero"/>
        <c:auto val="1"/>
        <c:lblAlgn val="ctr"/>
        <c:lblOffset val="100"/>
        <c:noMultiLvlLbl val="0"/>
      </c:catAx>
      <c:valAx>
        <c:axId val="793257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Annual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9055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15</xdr:col>
      <xdr:colOff>396000</xdr:colOff>
      <xdr:row>20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75" zoomScaleNormal="63" workbookViewId="0">
      <selection activeCell="D8" sqref="D8"/>
    </sheetView>
  </sheetViews>
  <sheetFormatPr defaultColWidth="8.6328125" defaultRowHeight="14.5" x14ac:dyDescent="0.35"/>
  <cols>
    <col min="1" max="1" width="40" customWidth="1"/>
    <col min="2" max="3" width="16" customWidth="1"/>
  </cols>
  <sheetData>
    <row r="1" spans="1:3" ht="18" customHeight="1" x14ac:dyDescent="0.4">
      <c r="A1" s="1" t="s">
        <v>0</v>
      </c>
    </row>
    <row r="3" spans="1:3" ht="14.25" customHeight="1" x14ac:dyDescent="0.35">
      <c r="A3" s="2" t="s">
        <v>1</v>
      </c>
    </row>
    <row r="4" spans="1:3" ht="14.25" customHeight="1" x14ac:dyDescent="0.35">
      <c r="A4" t="s">
        <v>2</v>
      </c>
      <c r="B4" s="3">
        <v>15000</v>
      </c>
      <c r="C4" s="4" t="s">
        <v>3</v>
      </c>
    </row>
    <row r="5" spans="1:3" ht="14.25" customHeight="1" x14ac:dyDescent="0.35">
      <c r="A5" t="s">
        <v>4</v>
      </c>
      <c r="B5" s="5">
        <v>80</v>
      </c>
      <c r="C5" s="4" t="s">
        <v>5</v>
      </c>
    </row>
    <row r="6" spans="1:3" ht="14.25" customHeight="1" x14ac:dyDescent="0.35">
      <c r="A6" t="s">
        <v>6</v>
      </c>
      <c r="B6" s="6">
        <v>0.18</v>
      </c>
      <c r="C6" s="4" t="s">
        <v>7</v>
      </c>
    </row>
    <row r="7" spans="1:3" ht="14.25" customHeight="1" x14ac:dyDescent="0.35">
      <c r="A7" t="s">
        <v>8</v>
      </c>
      <c r="B7" s="5">
        <v>220</v>
      </c>
      <c r="C7" s="4" t="s">
        <v>9</v>
      </c>
    </row>
    <row r="8" spans="1:3" ht="14.25" customHeight="1" x14ac:dyDescent="0.35">
      <c r="A8" t="s">
        <v>10</v>
      </c>
      <c r="B8" s="7">
        <f>B6*B5</f>
        <v>14.399999999999999</v>
      </c>
      <c r="C8" s="4" t="s">
        <v>11</v>
      </c>
    </row>
    <row r="11" spans="1:3" ht="14.25" customHeight="1" x14ac:dyDescent="0.35">
      <c r="A11" s="2" t="s">
        <v>12</v>
      </c>
    </row>
    <row r="12" spans="1:3" ht="14.25" customHeight="1" x14ac:dyDescent="0.35">
      <c r="A12" t="s">
        <v>13</v>
      </c>
      <c r="B12" s="8">
        <v>677.00319376289303</v>
      </c>
    </row>
    <row r="14" spans="1:3" ht="14.25" customHeight="1" x14ac:dyDescent="0.35">
      <c r="A14" s="2" t="s">
        <v>14</v>
      </c>
    </row>
    <row r="15" spans="1:3" ht="14.25" customHeight="1" x14ac:dyDescent="0.35">
      <c r="A15" t="s">
        <v>15</v>
      </c>
      <c r="B15" s="7">
        <f>(B4/B12)*B7</f>
        <v>4874.4230904703236</v>
      </c>
    </row>
    <row r="16" spans="1:3" ht="14.25" customHeight="1" x14ac:dyDescent="0.35">
      <c r="A16" t="s">
        <v>16</v>
      </c>
      <c r="B16" s="7">
        <f>(B12/2)*B8</f>
        <v>4874.4229950928293</v>
      </c>
    </row>
    <row r="17" spans="1:2" ht="14.25" customHeight="1" x14ac:dyDescent="0.35">
      <c r="A17" s="9" t="s">
        <v>17</v>
      </c>
      <c r="B17" s="10">
        <f>B15+B16</f>
        <v>9748.8460855631529</v>
      </c>
    </row>
    <row r="18" spans="1:2" ht="14.25" customHeight="1" x14ac:dyDescent="0.35">
      <c r="A18" t="s">
        <v>18</v>
      </c>
      <c r="B18" s="11">
        <f>B4/B12</f>
        <v>22.156468593046924</v>
      </c>
    </row>
    <row r="21" spans="1:2" ht="14.25" customHeight="1" x14ac:dyDescent="0.35">
      <c r="A21" s="2" t="s">
        <v>19</v>
      </c>
    </row>
    <row r="22" spans="1:2" ht="14.25" customHeight="1" x14ac:dyDescent="0.35">
      <c r="A22" t="s">
        <v>20</v>
      </c>
      <c r="B22" s="12">
        <f>SQRT(2*B4*B7/B8)</f>
        <v>677.00320038633004</v>
      </c>
    </row>
    <row r="23" spans="1:2" ht="14.25" customHeight="1" x14ac:dyDescent="0.35">
      <c r="A23" t="s">
        <v>21</v>
      </c>
      <c r="B23" s="7">
        <f>SQRT(2*B4*B7*B8)</f>
        <v>9748.8460855631511</v>
      </c>
    </row>
    <row r="26" spans="1:2" ht="14.25" customHeight="1" x14ac:dyDescent="0.35">
      <c r="A26" s="9" t="s">
        <v>22</v>
      </c>
    </row>
    <row r="27" spans="1:2" ht="14.25" customHeight="1" x14ac:dyDescent="0.35">
      <c r="A27" s="13" t="s">
        <v>23</v>
      </c>
    </row>
    <row r="28" spans="1:2" ht="14.25" customHeight="1" x14ac:dyDescent="0.35">
      <c r="A28" s="13" t="s">
        <v>24</v>
      </c>
    </row>
    <row r="29" spans="1:2" ht="14.25" customHeight="1" x14ac:dyDescent="0.35">
      <c r="A29" s="13" t="s">
        <v>25</v>
      </c>
    </row>
    <row r="30" spans="1:2" ht="14.25" customHeight="1" x14ac:dyDescent="0.35">
      <c r="A30" s="13" t="s">
        <v>26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zoomScaleNormal="100" workbookViewId="0"/>
  </sheetViews>
  <sheetFormatPr defaultColWidth="8.6328125" defaultRowHeight="14.5" x14ac:dyDescent="0.35"/>
  <cols>
    <col min="1" max="1" width="20" customWidth="1"/>
    <col min="2" max="4" width="16" customWidth="1"/>
  </cols>
  <sheetData>
    <row r="1" spans="1:4" ht="18" customHeight="1" x14ac:dyDescent="0.4">
      <c r="A1" s="1" t="s">
        <v>27</v>
      </c>
    </row>
    <row r="3" spans="1:4" ht="14.25" customHeight="1" x14ac:dyDescent="0.35">
      <c r="A3" s="14" t="s">
        <v>28</v>
      </c>
      <c r="B3" s="14" t="s">
        <v>29</v>
      </c>
      <c r="C3" s="14" t="s">
        <v>30</v>
      </c>
      <c r="D3" s="14" t="s">
        <v>31</v>
      </c>
    </row>
    <row r="4" spans="1:4" ht="14.25" customHeight="1" x14ac:dyDescent="0.35">
      <c r="A4" s="15">
        <v>100</v>
      </c>
      <c r="B4" s="7">
        <f>(Model!$B$4/A4)*Model!$B$7</f>
        <v>33000</v>
      </c>
      <c r="C4" s="7">
        <f>(A4/2)*Model!$B$8</f>
        <v>719.99999999999989</v>
      </c>
      <c r="D4" s="7">
        <f t="shared" ref="D4:D32" si="0">B4+C4</f>
        <v>33720</v>
      </c>
    </row>
    <row r="5" spans="1:4" ht="14.25" customHeight="1" x14ac:dyDescent="0.35">
      <c r="A5" s="15">
        <v>150</v>
      </c>
      <c r="B5" s="7">
        <f>(Model!$B$4/A5)*Model!$B$7</f>
        <v>22000</v>
      </c>
      <c r="C5" s="7">
        <f>(A5/2)*Model!$B$8</f>
        <v>1080</v>
      </c>
      <c r="D5" s="7">
        <f t="shared" si="0"/>
        <v>23080</v>
      </c>
    </row>
    <row r="6" spans="1:4" ht="14.25" customHeight="1" x14ac:dyDescent="0.35">
      <c r="A6" s="15">
        <v>200</v>
      </c>
      <c r="B6" s="7">
        <f>(Model!$B$4/A6)*Model!$B$7</f>
        <v>16500</v>
      </c>
      <c r="C6" s="7">
        <f>(A6/2)*Model!$B$8</f>
        <v>1439.9999999999998</v>
      </c>
      <c r="D6" s="7">
        <f t="shared" si="0"/>
        <v>17940</v>
      </c>
    </row>
    <row r="7" spans="1:4" ht="14.25" customHeight="1" x14ac:dyDescent="0.35">
      <c r="A7" s="15">
        <v>250</v>
      </c>
      <c r="B7" s="7">
        <f>(Model!$B$4/A7)*Model!$B$7</f>
        <v>13200</v>
      </c>
      <c r="C7" s="7">
        <f>(A7/2)*Model!$B$8</f>
        <v>1799.9999999999998</v>
      </c>
      <c r="D7" s="7">
        <f t="shared" si="0"/>
        <v>15000</v>
      </c>
    </row>
    <row r="8" spans="1:4" ht="14.25" customHeight="1" x14ac:dyDescent="0.35">
      <c r="A8" s="15">
        <v>300</v>
      </c>
      <c r="B8" s="7">
        <f>(Model!$B$4/A8)*Model!$B$7</f>
        <v>11000</v>
      </c>
      <c r="C8" s="7">
        <f>(A8/2)*Model!$B$8</f>
        <v>2160</v>
      </c>
      <c r="D8" s="7">
        <f t="shared" si="0"/>
        <v>13160</v>
      </c>
    </row>
    <row r="9" spans="1:4" ht="14.25" customHeight="1" x14ac:dyDescent="0.35">
      <c r="A9" s="15">
        <v>350</v>
      </c>
      <c r="B9" s="7">
        <f>(Model!$B$4/A9)*Model!$B$7</f>
        <v>9428.5714285714275</v>
      </c>
      <c r="C9" s="7">
        <f>(A9/2)*Model!$B$8</f>
        <v>2519.9999999999995</v>
      </c>
      <c r="D9" s="7">
        <f t="shared" si="0"/>
        <v>11948.571428571428</v>
      </c>
    </row>
    <row r="10" spans="1:4" ht="14.25" customHeight="1" x14ac:dyDescent="0.35">
      <c r="A10" s="15">
        <v>400</v>
      </c>
      <c r="B10" s="7">
        <f>(Model!$B$4/A10)*Model!$B$7</f>
        <v>8250</v>
      </c>
      <c r="C10" s="7">
        <f>(A10/2)*Model!$B$8</f>
        <v>2879.9999999999995</v>
      </c>
      <c r="D10" s="7">
        <f t="shared" si="0"/>
        <v>11130</v>
      </c>
    </row>
    <row r="11" spans="1:4" ht="14.25" customHeight="1" x14ac:dyDescent="0.35">
      <c r="A11" s="15">
        <v>450</v>
      </c>
      <c r="B11" s="7">
        <f>(Model!$B$4/A11)*Model!$B$7</f>
        <v>7333.3333333333339</v>
      </c>
      <c r="C11" s="7">
        <f>(A11/2)*Model!$B$8</f>
        <v>3239.9999999999995</v>
      </c>
      <c r="D11" s="7">
        <f t="shared" si="0"/>
        <v>10573.333333333334</v>
      </c>
    </row>
    <row r="12" spans="1:4" ht="14.25" customHeight="1" x14ac:dyDescent="0.35">
      <c r="A12" s="15">
        <v>500</v>
      </c>
      <c r="B12" s="7">
        <f>(Model!$B$4/A12)*Model!$B$7</f>
        <v>6600</v>
      </c>
      <c r="C12" s="7">
        <f>(A12/2)*Model!$B$8</f>
        <v>3599.9999999999995</v>
      </c>
      <c r="D12" s="7">
        <f t="shared" si="0"/>
        <v>10200</v>
      </c>
    </row>
    <row r="13" spans="1:4" ht="14.25" customHeight="1" x14ac:dyDescent="0.35">
      <c r="A13" s="15">
        <v>550</v>
      </c>
      <c r="B13" s="7">
        <f>(Model!$B$4/A13)*Model!$B$7</f>
        <v>6000</v>
      </c>
      <c r="C13" s="7">
        <f>(A13/2)*Model!$B$8</f>
        <v>3959.9999999999995</v>
      </c>
      <c r="D13" s="7">
        <f t="shared" si="0"/>
        <v>9960</v>
      </c>
    </row>
    <row r="14" spans="1:4" ht="14.25" customHeight="1" x14ac:dyDescent="0.35">
      <c r="A14" s="15">
        <v>600</v>
      </c>
      <c r="B14" s="7">
        <f>(Model!$B$4/A14)*Model!$B$7</f>
        <v>5500</v>
      </c>
      <c r="C14" s="7">
        <f>(A14/2)*Model!$B$8</f>
        <v>4320</v>
      </c>
      <c r="D14" s="7">
        <f t="shared" si="0"/>
        <v>9820</v>
      </c>
    </row>
    <row r="15" spans="1:4" ht="14.25" customHeight="1" x14ac:dyDescent="0.35">
      <c r="A15" s="15">
        <v>650</v>
      </c>
      <c r="B15" s="7">
        <f>(Model!$B$4/A15)*Model!$B$7</f>
        <v>5076.9230769230771</v>
      </c>
      <c r="C15" s="7">
        <f>(A15/2)*Model!$B$8</f>
        <v>4679.9999999999991</v>
      </c>
      <c r="D15" s="7">
        <f t="shared" si="0"/>
        <v>9756.9230769230762</v>
      </c>
    </row>
    <row r="16" spans="1:4" ht="14.25" customHeight="1" x14ac:dyDescent="0.35">
      <c r="A16" s="15">
        <v>700</v>
      </c>
      <c r="B16" s="7">
        <f>(Model!$B$4/A16)*Model!$B$7</f>
        <v>4714.2857142857138</v>
      </c>
      <c r="C16" s="7">
        <f>(A16/2)*Model!$B$8</f>
        <v>5039.9999999999991</v>
      </c>
      <c r="D16" s="7">
        <f t="shared" si="0"/>
        <v>9754.2857142857138</v>
      </c>
    </row>
    <row r="17" spans="1:4" ht="14.25" customHeight="1" x14ac:dyDescent="0.35">
      <c r="A17" s="15">
        <v>750</v>
      </c>
      <c r="B17" s="7">
        <f>(Model!$B$4/A17)*Model!$B$7</f>
        <v>4400</v>
      </c>
      <c r="C17" s="7">
        <f>(A17/2)*Model!$B$8</f>
        <v>5399.9999999999991</v>
      </c>
      <c r="D17" s="7">
        <f t="shared" si="0"/>
        <v>9800</v>
      </c>
    </row>
    <row r="18" spans="1:4" ht="14.25" customHeight="1" x14ac:dyDescent="0.35">
      <c r="A18" s="15">
        <v>800</v>
      </c>
      <c r="B18" s="7">
        <f>(Model!$B$4/A18)*Model!$B$7</f>
        <v>4125</v>
      </c>
      <c r="C18" s="7">
        <f>(A18/2)*Model!$B$8</f>
        <v>5759.9999999999991</v>
      </c>
      <c r="D18" s="7">
        <f t="shared" si="0"/>
        <v>9885</v>
      </c>
    </row>
    <row r="19" spans="1:4" ht="14.25" customHeight="1" x14ac:dyDescent="0.35">
      <c r="A19" s="15">
        <v>850</v>
      </c>
      <c r="B19" s="7">
        <f>(Model!$B$4/A19)*Model!$B$7</f>
        <v>3882.3529411764707</v>
      </c>
      <c r="C19" s="7">
        <f>(A19/2)*Model!$B$8</f>
        <v>6119.9999999999991</v>
      </c>
      <c r="D19" s="7">
        <f t="shared" si="0"/>
        <v>10002.35294117647</v>
      </c>
    </row>
    <row r="20" spans="1:4" ht="14.25" customHeight="1" x14ac:dyDescent="0.35">
      <c r="A20" s="15">
        <v>900</v>
      </c>
      <c r="B20" s="7">
        <f>(Model!$B$4/A20)*Model!$B$7</f>
        <v>3666.666666666667</v>
      </c>
      <c r="C20" s="7">
        <f>(A20/2)*Model!$B$8</f>
        <v>6479.9999999999991</v>
      </c>
      <c r="D20" s="7">
        <f t="shared" si="0"/>
        <v>10146.666666666666</v>
      </c>
    </row>
    <row r="21" spans="1:4" ht="14.25" customHeight="1" x14ac:dyDescent="0.35">
      <c r="A21" s="15">
        <v>950</v>
      </c>
      <c r="B21" s="7">
        <f>(Model!$B$4/A21)*Model!$B$7</f>
        <v>3473.6842105263158</v>
      </c>
      <c r="C21" s="7">
        <f>(A21/2)*Model!$B$8</f>
        <v>6839.9999999999991</v>
      </c>
      <c r="D21" s="7">
        <f t="shared" si="0"/>
        <v>10313.684210526315</v>
      </c>
    </row>
    <row r="22" spans="1:4" ht="14.25" customHeight="1" x14ac:dyDescent="0.35">
      <c r="A22" s="15">
        <v>1000</v>
      </c>
      <c r="B22" s="7">
        <f>(Model!$B$4/A22)*Model!$B$7</f>
        <v>3300</v>
      </c>
      <c r="C22" s="7">
        <f>(A22/2)*Model!$B$8</f>
        <v>7199.9999999999991</v>
      </c>
      <c r="D22" s="7">
        <f t="shared" si="0"/>
        <v>10500</v>
      </c>
    </row>
    <row r="23" spans="1:4" ht="14.25" customHeight="1" x14ac:dyDescent="0.35">
      <c r="A23" s="15">
        <v>1050</v>
      </c>
      <c r="B23" s="7">
        <f>(Model!$B$4/A23)*Model!$B$7</f>
        <v>3142.8571428571431</v>
      </c>
      <c r="C23" s="7">
        <f>(A23/2)*Model!$B$8</f>
        <v>7559.9999999999991</v>
      </c>
      <c r="D23" s="7">
        <f t="shared" si="0"/>
        <v>10702.857142857141</v>
      </c>
    </row>
    <row r="24" spans="1:4" ht="14.25" customHeight="1" x14ac:dyDescent="0.35">
      <c r="A24" s="15">
        <v>1100</v>
      </c>
      <c r="B24" s="7">
        <f>(Model!$B$4/A24)*Model!$B$7</f>
        <v>3000</v>
      </c>
      <c r="C24" s="7">
        <f>(A24/2)*Model!$B$8</f>
        <v>7919.9999999999991</v>
      </c>
      <c r="D24" s="7">
        <f t="shared" si="0"/>
        <v>10920</v>
      </c>
    </row>
    <row r="25" spans="1:4" ht="14.25" customHeight="1" x14ac:dyDescent="0.35">
      <c r="A25" s="15">
        <v>1150</v>
      </c>
      <c r="B25" s="7">
        <f>(Model!$B$4/A25)*Model!$B$7</f>
        <v>2869.565217391304</v>
      </c>
      <c r="C25" s="7">
        <f>(A25/2)*Model!$B$8</f>
        <v>8280</v>
      </c>
      <c r="D25" s="7">
        <f t="shared" si="0"/>
        <v>11149.565217391304</v>
      </c>
    </row>
    <row r="26" spans="1:4" ht="14.25" customHeight="1" x14ac:dyDescent="0.35">
      <c r="A26" s="15">
        <v>1200</v>
      </c>
      <c r="B26" s="7">
        <f>(Model!$B$4/A26)*Model!$B$7</f>
        <v>2750</v>
      </c>
      <c r="C26" s="7">
        <f>(A26/2)*Model!$B$8</f>
        <v>8640</v>
      </c>
      <c r="D26" s="7">
        <f t="shared" si="0"/>
        <v>11390</v>
      </c>
    </row>
    <row r="27" spans="1:4" ht="14.25" customHeight="1" x14ac:dyDescent="0.35">
      <c r="A27" s="15">
        <v>1250</v>
      </c>
      <c r="B27" s="7">
        <f>(Model!$B$4/A27)*Model!$B$7</f>
        <v>2640</v>
      </c>
      <c r="C27" s="7">
        <f>(A27/2)*Model!$B$8</f>
        <v>9000</v>
      </c>
      <c r="D27" s="7">
        <f t="shared" si="0"/>
        <v>11640</v>
      </c>
    </row>
    <row r="28" spans="1:4" ht="14.25" customHeight="1" x14ac:dyDescent="0.35">
      <c r="A28" s="15">
        <v>1300</v>
      </c>
      <c r="B28" s="7">
        <f>(Model!$B$4/A28)*Model!$B$7</f>
        <v>2538.4615384615386</v>
      </c>
      <c r="C28" s="7">
        <f>(A28/2)*Model!$B$8</f>
        <v>9359.9999999999982</v>
      </c>
      <c r="D28" s="7">
        <f t="shared" si="0"/>
        <v>11898.461538461537</v>
      </c>
    </row>
    <row r="29" spans="1:4" ht="14.25" customHeight="1" x14ac:dyDescent="0.35">
      <c r="A29" s="15">
        <v>1350</v>
      </c>
      <c r="B29" s="7">
        <f>(Model!$B$4/A29)*Model!$B$7</f>
        <v>2444.4444444444443</v>
      </c>
      <c r="C29" s="7">
        <f>(A29/2)*Model!$B$8</f>
        <v>9719.9999999999982</v>
      </c>
      <c r="D29" s="7">
        <f t="shared" si="0"/>
        <v>12164.444444444442</v>
      </c>
    </row>
    <row r="30" spans="1:4" ht="14.25" customHeight="1" x14ac:dyDescent="0.35">
      <c r="A30" s="15">
        <v>1400</v>
      </c>
      <c r="B30" s="7">
        <f>(Model!$B$4/A30)*Model!$B$7</f>
        <v>2357.1428571428569</v>
      </c>
      <c r="C30" s="7">
        <f>(A30/2)*Model!$B$8</f>
        <v>10079.999999999998</v>
      </c>
      <c r="D30" s="7">
        <f t="shared" si="0"/>
        <v>12437.142857142855</v>
      </c>
    </row>
    <row r="31" spans="1:4" ht="14.25" customHeight="1" x14ac:dyDescent="0.35">
      <c r="A31" s="15">
        <v>1450</v>
      </c>
      <c r="B31" s="7">
        <f>(Model!$B$4/A31)*Model!$B$7</f>
        <v>2275.8620689655172</v>
      </c>
      <c r="C31" s="7">
        <f>(A31/2)*Model!$B$8</f>
        <v>10439.999999999998</v>
      </c>
      <c r="D31" s="7">
        <f t="shared" si="0"/>
        <v>12715.862068965514</v>
      </c>
    </row>
    <row r="32" spans="1:4" ht="14.25" customHeight="1" x14ac:dyDescent="0.35">
      <c r="A32" s="15">
        <v>1500</v>
      </c>
      <c r="B32" s="7">
        <f>(Model!$B$4/A32)*Model!$B$7</f>
        <v>2200</v>
      </c>
      <c r="C32" s="7">
        <f>(A32/2)*Model!$B$8</f>
        <v>10799.999999999998</v>
      </c>
      <c r="D32" s="7">
        <f t="shared" si="0"/>
        <v>12999.999999999998</v>
      </c>
    </row>
    <row r="33" spans="1:4" ht="14.25" customHeight="1" x14ac:dyDescent="0.35">
      <c r="A33" s="15"/>
      <c r="B33" s="7"/>
      <c r="C33" s="7"/>
      <c r="D33" s="7"/>
    </row>
    <row r="34" spans="1:4" ht="14.25" customHeight="1" x14ac:dyDescent="0.35">
      <c r="A34" s="15" t="s">
        <v>32</v>
      </c>
      <c r="B34" s="7"/>
      <c r="C34" s="7"/>
      <c r="D34" s="7">
        <f>MIN(D4:D32)</f>
        <v>9754.2857142857138</v>
      </c>
    </row>
    <row r="35" spans="1:4" ht="14.25" customHeight="1" x14ac:dyDescent="0.35">
      <c r="A35" s="15" t="s">
        <v>33</v>
      </c>
      <c r="B35" s="7"/>
      <c r="C35" s="7"/>
      <c r="D35" s="16">
        <f>INDEX(A4:A32,MATCH(MIN(D4:D32),D4:D32,0))</f>
        <v>700</v>
      </c>
    </row>
    <row r="36" spans="1:4" ht="14.25" customHeight="1" x14ac:dyDescent="0.35">
      <c r="A36" s="15"/>
      <c r="B36" s="7"/>
      <c r="C36" s="7"/>
      <c r="D36" s="7"/>
    </row>
    <row r="37" spans="1:4" ht="14.25" customHeight="1" x14ac:dyDescent="0.35">
      <c r="A37" s="15"/>
      <c r="B37" s="7"/>
      <c r="C37" s="7"/>
      <c r="D37" s="7"/>
    </row>
    <row r="38" spans="1:4" ht="14.25" customHeight="1" x14ac:dyDescent="0.35">
      <c r="A38" s="15"/>
      <c r="B38" s="7"/>
      <c r="C38" s="7"/>
      <c r="D38" s="7"/>
    </row>
    <row r="39" spans="1:4" ht="14.25" customHeight="1" x14ac:dyDescent="0.35">
      <c r="A39" s="15"/>
      <c r="B39" s="7"/>
      <c r="C39" s="7"/>
      <c r="D39" s="7"/>
    </row>
    <row r="40" spans="1:4" ht="14.25" customHeight="1" x14ac:dyDescent="0.35">
      <c r="A40" s="15"/>
      <c r="B40" s="7"/>
      <c r="C40" s="7"/>
      <c r="D40" s="7"/>
    </row>
    <row r="41" spans="1:4" ht="14.25" customHeight="1" x14ac:dyDescent="0.35">
      <c r="A41" s="15"/>
      <c r="B41" s="7"/>
      <c r="C41" s="7"/>
      <c r="D41" s="7"/>
    </row>
    <row r="42" spans="1:4" ht="14.25" customHeight="1" x14ac:dyDescent="0.35">
      <c r="A42" s="15"/>
      <c r="B42" s="7"/>
      <c r="C42" s="7"/>
      <c r="D42" s="7"/>
    </row>
    <row r="43" spans="1:4" ht="14.25" customHeight="1" x14ac:dyDescent="0.35">
      <c r="A43" s="15"/>
      <c r="B43" s="7"/>
      <c r="C43" s="7"/>
      <c r="D43" s="7"/>
    </row>
    <row r="44" spans="1:4" ht="14.25" customHeight="1" x14ac:dyDescent="0.35">
      <c r="A44" s="15"/>
      <c r="B44" s="7"/>
      <c r="C44" s="7"/>
      <c r="D44" s="7"/>
    </row>
    <row r="45" spans="1:4" ht="14.25" customHeight="1" x14ac:dyDescent="0.35">
      <c r="A45" s="15"/>
      <c r="B45" s="7"/>
      <c r="C45" s="7"/>
      <c r="D45" s="7"/>
    </row>
    <row r="46" spans="1:4" ht="14.25" customHeight="1" x14ac:dyDescent="0.35">
      <c r="A46" s="15"/>
      <c r="B46" s="7"/>
      <c r="C46" s="7"/>
      <c r="D46" s="7"/>
    </row>
    <row r="47" spans="1:4" ht="14.25" customHeight="1" x14ac:dyDescent="0.35">
      <c r="A47" s="15"/>
      <c r="B47" s="7"/>
      <c r="C47" s="7"/>
      <c r="D47" s="7"/>
    </row>
    <row r="48" spans="1:4" ht="14.25" customHeight="1" x14ac:dyDescent="0.35">
      <c r="A48" s="15"/>
      <c r="B48" s="7"/>
      <c r="C48" s="7"/>
      <c r="D48" s="7"/>
    </row>
    <row r="49" spans="1:4" ht="14.25" customHeight="1" x14ac:dyDescent="0.35">
      <c r="A49" s="15"/>
      <c r="B49" s="7"/>
      <c r="C49" s="7"/>
      <c r="D49" s="7"/>
    </row>
    <row r="50" spans="1:4" ht="14.25" customHeight="1" x14ac:dyDescent="0.35">
      <c r="A50" s="15"/>
      <c r="B50" s="7"/>
      <c r="C50" s="7"/>
      <c r="D50" s="7"/>
    </row>
    <row r="51" spans="1:4" ht="14.25" customHeight="1" x14ac:dyDescent="0.35">
      <c r="A51" s="15"/>
      <c r="B51" s="7"/>
      <c r="C51" s="7"/>
      <c r="D51" s="7"/>
    </row>
    <row r="52" spans="1:4" ht="14.25" customHeight="1" x14ac:dyDescent="0.35">
      <c r="A52" s="15"/>
      <c r="B52" s="7"/>
      <c r="C52" s="7"/>
      <c r="D52" s="7"/>
    </row>
    <row r="53" spans="1:4" ht="14.25" customHeight="1" x14ac:dyDescent="0.35">
      <c r="A53" s="15"/>
      <c r="B53" s="7"/>
      <c r="C53" s="7"/>
      <c r="D53" s="7"/>
    </row>
    <row r="54" spans="1:4" ht="14.25" customHeight="1" x14ac:dyDescent="0.35">
      <c r="A54" s="15"/>
      <c r="B54" s="7"/>
      <c r="C54" s="7"/>
      <c r="D54" s="7"/>
    </row>
    <row r="55" spans="1:4" ht="14.25" customHeight="1" x14ac:dyDescent="0.35">
      <c r="A55" s="15"/>
      <c r="B55" s="7"/>
      <c r="C55" s="7"/>
      <c r="D55" s="7"/>
    </row>
    <row r="56" spans="1:4" ht="14.25" customHeight="1" x14ac:dyDescent="0.35">
      <c r="A56" s="15"/>
      <c r="B56" s="7"/>
      <c r="C56" s="7"/>
      <c r="D56" s="7"/>
    </row>
    <row r="57" spans="1:4" ht="14.25" customHeight="1" x14ac:dyDescent="0.35">
      <c r="A57" s="15"/>
      <c r="B57" s="7"/>
      <c r="C57" s="7"/>
      <c r="D57" s="7"/>
    </row>
    <row r="58" spans="1:4" ht="14.25" customHeight="1" x14ac:dyDescent="0.35">
      <c r="A58" s="15"/>
      <c r="B58" s="7"/>
      <c r="C58" s="7"/>
      <c r="D58" s="7"/>
    </row>
    <row r="59" spans="1:4" ht="14.25" customHeight="1" x14ac:dyDescent="0.35">
      <c r="A59" s="15"/>
      <c r="B59" s="7"/>
      <c r="C59" s="7"/>
      <c r="D59" s="7"/>
    </row>
    <row r="60" spans="1:4" ht="14.25" customHeight="1" x14ac:dyDescent="0.35">
      <c r="A60" s="15"/>
      <c r="B60" s="7"/>
      <c r="C60" s="7"/>
      <c r="D60" s="7"/>
    </row>
    <row r="62" spans="1:4" ht="14.25" customHeight="1" x14ac:dyDescent="0.35">
      <c r="A62" s="9"/>
      <c r="D62" s="17"/>
    </row>
    <row r="63" spans="1:4" ht="14.25" customHeight="1" x14ac:dyDescent="0.35">
      <c r="A63" s="9"/>
      <c r="D63" s="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workbookViewId="0">
      <selection activeCell="H15" sqref="H15"/>
    </sheetView>
  </sheetViews>
  <sheetFormatPr defaultColWidth="8.6328125" defaultRowHeight="14.5" x14ac:dyDescent="0.35"/>
  <cols>
    <col min="1" max="6" width="12" customWidth="1"/>
  </cols>
  <sheetData>
    <row r="1" spans="1:6" ht="18" customHeight="1" x14ac:dyDescent="0.4">
      <c r="A1" s="1" t="s">
        <v>34</v>
      </c>
    </row>
    <row r="2" spans="1:6" ht="14.25" customHeight="1" x14ac:dyDescent="0.35">
      <c r="A2" s="13" t="s">
        <v>35</v>
      </c>
    </row>
    <row r="4" spans="1:6" ht="14.25" customHeight="1" x14ac:dyDescent="0.35">
      <c r="A4" s="2" t="s">
        <v>36</v>
      </c>
    </row>
    <row r="5" spans="1:6" ht="14.25" customHeight="1" x14ac:dyDescent="0.35">
      <c r="A5" s="20" t="s">
        <v>37</v>
      </c>
      <c r="B5" s="22">
        <v>0.1</v>
      </c>
      <c r="C5" s="22">
        <v>0.14000000000000001</v>
      </c>
      <c r="D5" s="22">
        <v>0.18</v>
      </c>
      <c r="E5" s="22">
        <v>0.22</v>
      </c>
      <c r="F5" s="22">
        <v>0.26</v>
      </c>
    </row>
    <row r="6" spans="1:6" ht="14.25" customHeight="1" x14ac:dyDescent="0.35">
      <c r="A6" s="21">
        <v>150</v>
      </c>
      <c r="B6" s="18">
        <f>SQRT(2*Model!$B$4*$A6*(B5*Model!$B$5))</f>
        <v>6000</v>
      </c>
      <c r="C6" s="18">
        <f>SQRT(2*Model!$B$4*$A6*(C5*Model!$B$5))</f>
        <v>7099.2957397195396</v>
      </c>
      <c r="D6" s="18">
        <f>SQRT(2*Model!$B$4*$A6*(D5*Model!$B$5))</f>
        <v>8049.8447189992421</v>
      </c>
      <c r="E6" s="18">
        <f>SQRT(2*Model!$B$4*$A6*(E5*Model!$B$5))</f>
        <v>8899.4381845147964</v>
      </c>
      <c r="F6" s="18">
        <f>SQRT(2*Model!$B$4*$A6*(F5*Model!$B$5))</f>
        <v>9674.7092979582594</v>
      </c>
    </row>
    <row r="7" spans="1:6" ht="14.25" customHeight="1" x14ac:dyDescent="0.35">
      <c r="A7" s="21">
        <v>175</v>
      </c>
      <c r="B7" s="18">
        <f>SQRT(2*Model!$B$4*$A7*(B5*Model!$B$5))</f>
        <v>6480.7406984078598</v>
      </c>
      <c r="C7" s="18">
        <f>SQRT(2*Model!$B$4*$A7*(C5*Model!$B$5))</f>
        <v>7668.1158050723261</v>
      </c>
      <c r="D7" s="18">
        <f>SQRT(2*Model!$B$4*$A7*(D5*Model!$B$5))</f>
        <v>8694.8260477136628</v>
      </c>
      <c r="E7" s="18">
        <f>SQRT(2*Model!$B$4*$A7*(E5*Model!$B$5))</f>
        <v>9612.4918725583339</v>
      </c>
      <c r="F7" s="18">
        <f>SQRT(2*Model!$B$4*$A7*(F5*Model!$B$5))</f>
        <v>10449.880382090505</v>
      </c>
    </row>
    <row r="8" spans="1:6" ht="14.25" customHeight="1" x14ac:dyDescent="0.35">
      <c r="A8" s="21">
        <v>200</v>
      </c>
      <c r="B8" s="18">
        <f>SQRT(2*Model!$B$4*$A8*(B5*Model!$B$5))</f>
        <v>6928.2032302755088</v>
      </c>
      <c r="C8" s="18">
        <f>SQRT(2*Model!$B$4*$A8*(C5*Model!$B$5))</f>
        <v>8197.5606127676783</v>
      </c>
      <c r="D8" s="18">
        <f>SQRT(2*Model!$B$4*$A8*(D5*Model!$B$5))</f>
        <v>9295.1600308977995</v>
      </c>
      <c r="E8" s="18">
        <f>SQRT(2*Model!$B$4*$A8*(E5*Model!$B$5))</f>
        <v>10276.186062932104</v>
      </c>
      <c r="F8" s="18">
        <f>SQRT(2*Model!$B$4*$A8*(F5*Model!$B$5))</f>
        <v>11171.392035015153</v>
      </c>
    </row>
    <row r="9" spans="1:6" ht="14.25" customHeight="1" x14ac:dyDescent="0.35">
      <c r="A9" s="21">
        <v>220</v>
      </c>
      <c r="B9" s="18">
        <f>SQRT(2*Model!$B$4*$A9*(B5*Model!$B$5))</f>
        <v>7266.36084983398</v>
      </c>
      <c r="C9" s="18">
        <f>SQRT(2*Model!$B$4*$A9*(C5*Model!$B$5))</f>
        <v>8597.6741040818706</v>
      </c>
      <c r="D9" s="18">
        <f>SQRT(2*Model!$B$4*$A9*(D5*Model!$B$5))</f>
        <v>9748.8460855631511</v>
      </c>
      <c r="E9" s="18">
        <f>SQRT(2*Model!$B$4*$A9*(E5*Model!$B$5))</f>
        <v>10777.754868245984</v>
      </c>
      <c r="F9" s="18">
        <f>SQRT(2*Model!$B$4*$A9*(F5*Model!$B$5))</f>
        <v>11716.654812701448</v>
      </c>
    </row>
    <row r="10" spans="1:6" ht="14.25" customHeight="1" x14ac:dyDescent="0.35">
      <c r="A10" s="21">
        <v>250</v>
      </c>
      <c r="B10" s="18">
        <f>SQRT(2*Model!$B$4*$A10*(B5*Model!$B$5))</f>
        <v>7745.9666924148341</v>
      </c>
      <c r="C10" s="18">
        <f>SQRT(2*Model!$B$4*$A10*(C5*Model!$B$5))</f>
        <v>9165.1513899116817</v>
      </c>
      <c r="D10" s="18">
        <f>SQRT(2*Model!$B$4*$A10*(D5*Model!$B$5))</f>
        <v>10392.304845413262</v>
      </c>
      <c r="E10" s="18">
        <f>SQRT(2*Model!$B$4*$A10*(E5*Model!$B$5))</f>
        <v>11489.125293076058</v>
      </c>
      <c r="F10" s="18">
        <f>SQRT(2*Model!$B$4*$A10*(F5*Model!$B$5))</f>
        <v>12489.995996796797</v>
      </c>
    </row>
    <row r="11" spans="1:6" ht="14.25" customHeight="1" x14ac:dyDescent="0.35">
      <c r="A11" s="21">
        <v>275</v>
      </c>
      <c r="B11" s="18">
        <f>SQRT(2*Model!$B$4*$A11*(B5*Model!$B$5))</f>
        <v>8124.0384046359604</v>
      </c>
      <c r="C11" s="18">
        <f>SQRT(2*Model!$B$4*$A11*(C5*Model!$B$5))</f>
        <v>9612.4918725583339</v>
      </c>
      <c r="D11" s="18">
        <f>SQRT(2*Model!$B$4*$A11*(D5*Model!$B$5))</f>
        <v>10899.541274750969</v>
      </c>
      <c r="E11" s="18">
        <f>SQRT(2*Model!$B$4*$A11*(E5*Model!$B$5))</f>
        <v>12049.896265113655</v>
      </c>
      <c r="F11" s="18">
        <f>SQRT(2*Model!$B$4*$A11*(F5*Model!$B$5))</f>
        <v>13099.618315050251</v>
      </c>
    </row>
    <row r="12" spans="1:6" ht="14.25" customHeight="1" x14ac:dyDescent="0.35">
      <c r="A12" s="21">
        <v>300</v>
      </c>
      <c r="B12" s="18">
        <f>SQRT(2*Model!$B$4*$A12*(B5*Model!$B$5))</f>
        <v>8485.2813742385697</v>
      </c>
      <c r="C12" s="18">
        <f>SQRT(2*Model!$B$4*$A12*(C5*Model!$B$5))</f>
        <v>10039.920318408907</v>
      </c>
      <c r="D12" s="18">
        <f>SQRT(2*Model!$B$4*$A12*(D5*Model!$B$5))</f>
        <v>11384.199576606165</v>
      </c>
      <c r="E12" s="18">
        <f>SQRT(2*Model!$B$4*$A12*(E5*Model!$B$5))</f>
        <v>12585.706178041819</v>
      </c>
      <c r="F12" s="18">
        <f>SQRT(2*Model!$B$4*$A12*(F5*Model!$B$5))</f>
        <v>13682.105101189656</v>
      </c>
    </row>
    <row r="14" spans="1:6" ht="14.25" customHeight="1" x14ac:dyDescent="0.35">
      <c r="A14" s="2" t="s">
        <v>38</v>
      </c>
    </row>
    <row r="15" spans="1:6" ht="14.25" customHeight="1" x14ac:dyDescent="0.35">
      <c r="A15" s="20" t="s">
        <v>37</v>
      </c>
      <c r="B15" s="22">
        <v>0.1</v>
      </c>
      <c r="C15" s="22">
        <v>0.14000000000000001</v>
      </c>
      <c r="D15" s="22">
        <v>0.18</v>
      </c>
      <c r="E15" s="22">
        <v>0.22</v>
      </c>
      <c r="F15" s="22">
        <v>0.26</v>
      </c>
    </row>
    <row r="16" spans="1:6" ht="14.25" customHeight="1" x14ac:dyDescent="0.35">
      <c r="A16" s="21">
        <v>150</v>
      </c>
      <c r="B16" s="19">
        <f>SQRT(2*Model!$B$4*$A16/(B15*Model!$B$5))</f>
        <v>750</v>
      </c>
      <c r="C16" s="19">
        <f>SQRT(2*Model!$B$4*$A16/(C15*Model!$B$5))</f>
        <v>633.86569104638738</v>
      </c>
      <c r="D16" s="19">
        <f>SQRT(2*Model!$B$4*$A16/(D15*Model!$B$5))</f>
        <v>559.01699437494744</v>
      </c>
      <c r="E16" s="19">
        <f>SQRT(2*Model!$B$4*$A16/(E15*Model!$B$5))</f>
        <v>505.64989684743153</v>
      </c>
      <c r="F16" s="19">
        <f>SQRT(2*Model!$B$4*$A16/(F15*Model!$B$5))</f>
        <v>465.1302547095317</v>
      </c>
    </row>
    <row r="17" spans="1:6" ht="14.25" customHeight="1" x14ac:dyDescent="0.35">
      <c r="A17" s="21">
        <v>175</v>
      </c>
      <c r="B17" s="19">
        <f>SQRT(2*Model!$B$4*$A17/(B15*Model!$B$5))</f>
        <v>810.09258730098247</v>
      </c>
      <c r="C17" s="19">
        <f>SQRT(2*Model!$B$4*$A17/(C15*Model!$B$5))</f>
        <v>684.65319688145757</v>
      </c>
      <c r="D17" s="19">
        <f>SQRT(2*Model!$B$4*$A17/(D15*Model!$B$5))</f>
        <v>603.80736442455998</v>
      </c>
      <c r="E17" s="19">
        <f>SQRT(2*Model!$B$4*$A17/(E15*Model!$B$5))</f>
        <v>546.16431094081429</v>
      </c>
      <c r="F17" s="19">
        <f>SQRT(2*Model!$B$4*$A17/(F15*Model!$B$5))</f>
        <v>502.39809529281274</v>
      </c>
    </row>
    <row r="18" spans="1:6" ht="14.25" customHeight="1" x14ac:dyDescent="0.35">
      <c r="A18" s="21">
        <v>200</v>
      </c>
      <c r="B18" s="19">
        <f>SQRT(2*Model!$B$4*$A18/(B15*Model!$B$5))</f>
        <v>866.02540378443859</v>
      </c>
      <c r="C18" s="19">
        <f>SQRT(2*Model!$B$4*$A18/(C15*Model!$B$5))</f>
        <v>731.92505471139987</v>
      </c>
      <c r="D18" s="19">
        <f>SQRT(2*Model!$B$4*$A18/(D15*Model!$B$5))</f>
        <v>645.49722436790285</v>
      </c>
      <c r="E18" s="19">
        <f>SQRT(2*Model!$B$4*$A18/(E15*Model!$B$5))</f>
        <v>583.87420812114226</v>
      </c>
      <c r="F18" s="19">
        <f>SQRT(2*Model!$B$4*$A18/(F15*Model!$B$5))</f>
        <v>537.08615552957463</v>
      </c>
    </row>
    <row r="19" spans="1:6" ht="14.25" customHeight="1" x14ac:dyDescent="0.35">
      <c r="A19" s="21">
        <v>220</v>
      </c>
      <c r="B19" s="19">
        <f>SQRT(2*Model!$B$4*$A19/(B15*Model!$B$5))</f>
        <v>908.29510622924749</v>
      </c>
      <c r="C19" s="19">
        <f>SQRT(2*Model!$B$4*$A19/(C15*Model!$B$5))</f>
        <v>767.64947357873837</v>
      </c>
      <c r="D19" s="19">
        <f>SQRT(2*Model!$B$4*$A19/(D15*Model!$B$5))</f>
        <v>677.00320038633004</v>
      </c>
      <c r="E19" s="19">
        <f>SQRT(2*Model!$B$4*$A19/(E15*Model!$B$5))</f>
        <v>612.37243569579448</v>
      </c>
      <c r="F19" s="19">
        <f>SQRT(2*Model!$B$4*$A19/(F15*Model!$B$5))</f>
        <v>563.30071214910811</v>
      </c>
    </row>
    <row r="20" spans="1:6" ht="14.25" customHeight="1" x14ac:dyDescent="0.35">
      <c r="A20" s="21">
        <v>250</v>
      </c>
      <c r="B20" s="19">
        <f>SQRT(2*Model!$B$4*$A20/(B15*Model!$B$5))</f>
        <v>968.24583655185427</v>
      </c>
      <c r="C20" s="19">
        <f>SQRT(2*Model!$B$4*$A20/(C15*Model!$B$5))</f>
        <v>818.31708838497138</v>
      </c>
      <c r="D20" s="19">
        <f>SQRT(2*Model!$B$4*$A20/(D15*Model!$B$5))</f>
        <v>721.6878364870322</v>
      </c>
      <c r="E20" s="19">
        <f>SQRT(2*Model!$B$4*$A20/(E15*Model!$B$5))</f>
        <v>652.7912098338669</v>
      </c>
      <c r="F20" s="19">
        <f>SQRT(2*Model!$B$4*$A20/(F15*Model!$B$5))</f>
        <v>600.48057676907672</v>
      </c>
    </row>
    <row r="21" spans="1:6" ht="14.25" customHeight="1" x14ac:dyDescent="0.35">
      <c r="A21" s="21">
        <v>275</v>
      </c>
      <c r="B21" s="19">
        <f>SQRT(2*Model!$B$4*$A21/(B15*Model!$B$5))</f>
        <v>1015.5048005794951</v>
      </c>
      <c r="C21" s="19">
        <f>SQRT(2*Model!$B$4*$A21/(C15*Model!$B$5))</f>
        <v>858.25820290699403</v>
      </c>
      <c r="D21" s="19">
        <f>SQRT(2*Model!$B$4*$A21/(D15*Model!$B$5))</f>
        <v>756.91258852437295</v>
      </c>
      <c r="E21" s="19">
        <f>SQRT(2*Model!$B$4*$A21/(E15*Model!$B$5))</f>
        <v>684.65319688145757</v>
      </c>
      <c r="F21" s="19">
        <f>SQRT(2*Model!$B$4*$A21/(F15*Model!$B$5))</f>
        <v>629.7893420697236</v>
      </c>
    </row>
    <row r="22" spans="1:6" ht="14.25" customHeight="1" x14ac:dyDescent="0.35">
      <c r="A22" s="21">
        <v>300</v>
      </c>
      <c r="B22" s="19">
        <f>SQRT(2*Model!$B$4*$A22/(B15*Model!$B$5))</f>
        <v>1060.6601717798212</v>
      </c>
      <c r="C22" s="19">
        <f>SQRT(2*Model!$B$4*$A22/(C15*Model!$B$5))</f>
        <v>896.42145700079516</v>
      </c>
      <c r="D22" s="19">
        <f>SQRT(2*Model!$B$4*$A22/(D15*Model!$B$5))</f>
        <v>790.56941504209487</v>
      </c>
      <c r="E22" s="19">
        <f>SQRT(2*Model!$B$4*$A22/(E15*Model!$B$5))</f>
        <v>715.09694193419421</v>
      </c>
      <c r="F22" s="19">
        <f>SQRT(2*Model!$B$4*$A22/(F15*Model!$B$5))</f>
        <v>657.79351448027194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Data Table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 Mishra</cp:lastModifiedBy>
  <cp:revision>4</cp:revision>
  <dcterms:created xsi:type="dcterms:W3CDTF">2026-06-13T23:45:58Z</dcterms:created>
  <dcterms:modified xsi:type="dcterms:W3CDTF">2026-06-14T20:24:33Z</dcterms:modified>
  <dc:language>en-US</dc:language>
</cp:coreProperties>
</file>